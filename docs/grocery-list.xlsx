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Personal\Cook-Off-Contest\docs\"/>
    </mc:Choice>
  </mc:AlternateContent>
  <xr:revisionPtr revIDLastSave="0" documentId="8_{61092889-17B9-4A0C-8704-3EBA216DA1F5}" xr6:coauthVersionLast="47" xr6:coauthVersionMax="47" xr10:uidLastSave="{00000000-0000-0000-0000-000000000000}"/>
  <bookViews>
    <workbookView xWindow="-120" yWindow="-120" windowWidth="29040" windowHeight="15720" xr2:uid="{9C9103DD-397E-40E2-B9BB-781F6D6510EA}"/>
  </bookViews>
  <sheets>
    <sheet name="כמות אוכל" sheetId="1" r:id="rId1"/>
  </sheets>
  <externalReferences>
    <externalReference r:id="rId2"/>
  </externalReferences>
  <definedNames>
    <definedName name="Appetizer">[1]מפתח!$D$3</definedName>
    <definedName name="Bamba_cooked" localSheetId="0">[1]מפתח!$D$17</definedName>
    <definedName name="Beer_cooked" localSheetId="0">[1]מפתח!$D$22</definedName>
    <definedName name="Bissli_cooked" localSheetId="0">[1]מפתח!$D$18</definedName>
    <definedName name="Cake" localSheetId="0">[1]מפתח!$D$11</definedName>
    <definedName name="Carrot_cooked" localSheetId="0">[1]מפתח!$D$14</definedName>
    <definedName name="Chips_cooked" localSheetId="0">[1]מפתח!$D$19</definedName>
    <definedName name="ChocoBalls" localSheetId="0">[1]מפתח!$D$12</definedName>
    <definedName name="Coke_cooked" localSheetId="0">[1]מפתח!$D$32</definedName>
    <definedName name="Cucumber_cooked" localSheetId="0">[1]מפתח!$D$13</definedName>
    <definedName name="Dessert">[1]מפתח!$D$6</definedName>
    <definedName name="Focaccia" localSheetId="0">[1]מפתח!$D$7</definedName>
    <definedName name="Juice_Orange_cooked" localSheetId="0">[1]מפתח!$D$34</definedName>
    <definedName name="Juice_Other_cooked" localSheetId="0">[1]מפתח!$D$35</definedName>
    <definedName name="Main">[1]מפתח!$D$5</definedName>
    <definedName name="MiniPizza" localSheetId="0">[1]מפתח!$D$9</definedName>
    <definedName name="N_max" localSheetId="0">[1]מוזמנים!$M$5</definedName>
    <definedName name="N_max">[1]מוזמנים!$M$5</definedName>
    <definedName name="N_min" localSheetId="0">[1]מוזמנים!$M$4</definedName>
    <definedName name="N_min">[1]מוזמנים!$M$4</definedName>
    <definedName name="Pepper_cooked" localSheetId="0">[1]מפתח!$D$15</definedName>
    <definedName name="Quiche" localSheetId="0">[1]מפתח!$D$8</definedName>
    <definedName name="Salad">[1]מפתח!$D$4</definedName>
    <definedName name="Salad_meal" localSheetId="0">[1]מפתח!$D$10</definedName>
    <definedName name="Sprite_cooked" localSheetId="0">[1]מפתח!$D$33</definedName>
    <definedName name="Tomato_cooked" localSheetId="0">[1]מפתח!$D$16</definedName>
    <definedName name="Wine_cooked" localSheetId="0">[1]מפתח!$D$26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7" i="1" l="1"/>
  <c r="C26" i="1"/>
  <c r="C25" i="1"/>
  <c r="C24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<sst xmlns="http://schemas.openxmlformats.org/spreadsheetml/2006/main" count="35" uniqueCount="35">
  <si>
    <t>פריט</t>
  </si>
  <si>
    <t>כמות</t>
  </si>
  <si>
    <t>מנות
אורחים</t>
  </si>
  <si>
    <t>מתאבן</t>
  </si>
  <si>
    <t>סלט (כולל ירקות חתוכים)</t>
  </si>
  <si>
    <t>מלוח</t>
  </si>
  <si>
    <t>קינוח</t>
  </si>
  <si>
    <t>מנות
שלי</t>
  </si>
  <si>
    <t>פוקאצה (יח')</t>
  </si>
  <si>
    <t>פשטידה (תבנית)</t>
  </si>
  <si>
    <t>פיצות קטנות (יח')</t>
  </si>
  <si>
    <t>סלט (קערה)</t>
  </si>
  <si>
    <t>קינוחים
שלי</t>
  </si>
  <si>
    <t>עוגה (פס)</t>
  </si>
  <si>
    <t>כדורי שוקולד (יח')</t>
  </si>
  <si>
    <t>ירקות</t>
  </si>
  <si>
    <t>מלפפון (יח')</t>
  </si>
  <si>
    <t>גזר (יח')</t>
  </si>
  <si>
    <t>גמבה (יח')</t>
  </si>
  <si>
    <t>עגבניות שרי (יח')</t>
  </si>
  <si>
    <t>חטיפים</t>
  </si>
  <si>
    <t>במבה (שקיות גדולות)</t>
  </si>
  <si>
    <t>ביסלי (שקיות גדולות)</t>
  </si>
  <si>
    <t>תפוצ’יפס (שקיות גדולות)</t>
  </si>
  <si>
    <t>שתייה
חריפה</t>
  </si>
  <si>
    <t>בירות (יח')</t>
  </si>
  <si>
    <t>יין</t>
  </si>
  <si>
    <t>וודקה</t>
  </si>
  <si>
    <t>טקילה</t>
  </si>
  <si>
    <t>רום</t>
  </si>
  <si>
    <t>שתייה
קלה</t>
  </si>
  <si>
    <t>קולה (יח')</t>
  </si>
  <si>
    <t>ספרייט (יח')</t>
  </si>
  <si>
    <t>מיץ תפוזים (יח')</t>
  </si>
  <si>
    <t>פיוזטי (יח')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</si>
</sst>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ssistant"/>
      <family val="2"/>
    </font>
    <font>
      <sz val="11"/>
      <color theme="1"/>
      <name val="Arial"/>
      <family val="2"/>
      <scheme val="minor"/>
    </font>
    <font>
      <sz val="11"/>
      <color theme="1"/>
      <name val="Assistant"/>
    </font>
    <font>
      <sz val="12"/>
      <color theme="1"/>
      <name val="Assistant"/>
    </font>
    <font>
      <b/>
      <sz val="12"/>
      <color theme="0"/>
      <name val="Assistant"/>
    </font>
  </fonts>
  <fills count="5">
    <fill>
      <patternFill patternType="none"/>
    </fill>
    <fill>
      <patternFill patternType="gray125"/>
    </fill>
    <fill>
      <patternFill patternType="solid">
        <fgColor rgb="FF3D7F7C"/>
        <bgColor indexed="64"/>
      </patternFill>
    </fill>
    <fill>
      <patternFill patternType="solid">
        <fgColor rgb="FFC6DCD9"/>
        <bgColor indexed="64"/>
      </patternFill>
    </fill>
    <fill>
      <patternFill patternType="solid">
        <fgColor rgb="FFE8F0EF"/>
        <bgColor indexed="64"/>
      </patternFill>
    </fill>
  </fills>
  <borders count="11">
    <border>
      <left/>
      <right/>
      <top/>
      <bottom/>
      <diagonal/>
    </border>
    <border>
      <left style="medium">
        <color rgb="FF3D7F7C"/>
      </left>
      <right style="thin">
        <color rgb="FF3D7F7C"/>
      </right>
      <top style="medium">
        <color rgb="FF3D7F7C"/>
      </top>
      <bottom style="thin">
        <color rgb="FF3D7F7C"/>
      </bottom>
      <diagonal/>
    </border>
    <border>
      <left style="thin">
        <color rgb="FF3D7F7C"/>
      </left>
      <right style="medium">
        <color rgb="FF3D7F7C"/>
      </right>
      <top style="medium">
        <color rgb="FF3D7F7C"/>
      </top>
      <bottom style="thin">
        <color rgb="FF3D7F7C"/>
      </bottom>
      <diagonal/>
    </border>
    <border>
      <left style="medium">
        <color rgb="FF3D7F7C"/>
      </left>
      <right style="medium">
        <color rgb="FF3D7F7C"/>
      </right>
      <top style="thin">
        <color rgb="FF3D7F7C"/>
      </top>
      <bottom/>
      <diagonal/>
    </border>
    <border>
      <left style="medium">
        <color rgb="FF3D7F7C"/>
      </left>
      <right style="thin">
        <color rgb="FF3D7F7C"/>
      </right>
      <top style="thin">
        <color rgb="FF3D7F7C"/>
      </top>
      <bottom style="thin">
        <color rgb="FF3D7F7C"/>
      </bottom>
      <diagonal/>
    </border>
    <border>
      <left style="thin">
        <color rgb="FF3D7F7C"/>
      </left>
      <right style="medium">
        <color rgb="FF3D7F7C"/>
      </right>
      <top style="thin">
        <color rgb="FF3D7F7C"/>
      </top>
      <bottom style="thin">
        <color rgb="FF3D7F7C"/>
      </bottom>
      <diagonal/>
    </border>
    <border>
      <left style="medium">
        <color rgb="FF3D7F7C"/>
      </left>
      <right style="medium">
        <color rgb="FF3D7F7C"/>
      </right>
      <top/>
      <bottom/>
      <diagonal/>
    </border>
    <border>
      <left style="medium">
        <color rgb="FF3D7F7C"/>
      </left>
      <right style="medium">
        <color rgb="FF3D7F7C"/>
      </right>
      <top/>
      <bottom style="thin">
        <color rgb="FF3D7F7C"/>
      </bottom>
      <diagonal/>
    </border>
    <border>
      <left style="medium">
        <color rgb="FF3D7F7C"/>
      </left>
      <right style="medium">
        <color rgb="FF3D7F7C"/>
      </right>
      <top/>
      <bottom style="medium">
        <color rgb="FF3D7F7C"/>
      </bottom>
      <diagonal/>
    </border>
    <border>
      <left style="medium">
        <color rgb="FF3D7F7C"/>
      </left>
      <right style="thin">
        <color rgb="FF3D7F7C"/>
      </right>
      <top style="thin">
        <color rgb="FF3D7F7C"/>
      </top>
      <bottom style="medium">
        <color rgb="FF3D7F7C"/>
      </bottom>
      <diagonal/>
    </border>
    <border>
      <left style="thin">
        <color rgb="FF3D7F7C"/>
      </left>
      <right style="medium">
        <color rgb="FF3D7F7C"/>
      </right>
      <top style="thin">
        <color rgb="FF3D7F7C"/>
      </top>
      <bottom style="medium">
        <color rgb="FF3D7F7C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0" xfId="1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/>
    </xf>
    <xf numFmtId="164" fontId="2" fillId="3" borderId="5" xfId="1" applyNumberFormat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center"/>
    </xf>
    <xf numFmtId="2" fontId="2" fillId="4" borderId="5" xfId="1" applyNumberFormat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1" fontId="2" fillId="4" borderId="5" xfId="1" applyNumberFormat="1" applyFont="1" applyFill="1" applyBorder="1" applyAlignment="1">
      <alignment horizontal="center" vertical="center"/>
    </xf>
    <xf numFmtId="0" fontId="2" fillId="4" borderId="7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64" fontId="2" fillId="4" borderId="5" xfId="1" applyNumberFormat="1" applyFont="1" applyFill="1" applyBorder="1" applyAlignment="1">
      <alignment horizontal="center" vertical="center"/>
    </xf>
    <xf numFmtId="2" fontId="2" fillId="3" borderId="5" xfId="1" applyNumberFormat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2" fontId="2" fillId="3" borderId="10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30AD07B5-991E-4DBA-BAE5-8D4FA6CF0C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cuments/Misc/Halloween/&#1514;&#1499;&#1504;&#1493;&#1503;.xlsx" TargetMode="External"/><Relationship Id="rId2" Type="http://schemas.openxmlformats.org/officeDocument/2006/relationships/externalLinkPath" Target="file:///D:\Documents\Misc\Halloween\&#1514;&#1499;&#1504;&#1493;&#1503;.xlsx" TargetMode="External"/><Relationship Id="rId1" Type="http://schemas.openxmlformats.org/officeDocument/2006/relationships/externalLinkPath" Target="/Documents/Misc/Halloween/&#1514;&#1499;&#1504;&#1493;&#15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מוזמנים"/>
      <sheetName val="להביא לקרן"/>
      <sheetName val="בחירת תאריך"/>
      <sheetName val="כמות אוכל"/>
      <sheetName val="מפתח"/>
      <sheetName val="גיליון1 (2)"/>
      <sheetName val="2025"/>
    </sheetNames>
    <sheetDataSet>
      <sheetData sheetId="0">
        <row r="4">
          <cell r="M4">
            <v>29</v>
          </cell>
        </row>
        <row r="5">
          <cell r="M5">
            <v>30</v>
          </cell>
        </row>
      </sheetData>
      <sheetData sheetId="1"/>
      <sheetData sheetId="2"/>
      <sheetData sheetId="3"/>
      <sheetData sheetId="4">
        <row r="3">
          <cell r="D3">
            <v>0.03</v>
          </cell>
        </row>
        <row r="4">
          <cell r="D4">
            <v>0.12</v>
          </cell>
        </row>
        <row r="5">
          <cell r="D5">
            <v>0.4</v>
          </cell>
        </row>
        <row r="6">
          <cell r="D6">
            <v>0.2</v>
          </cell>
        </row>
        <row r="7">
          <cell r="D7">
            <v>0.16666666666666666</v>
          </cell>
        </row>
        <row r="8">
          <cell r="D8">
            <v>8.3333333333333329E-2</v>
          </cell>
        </row>
        <row r="9">
          <cell r="D9">
            <v>1.75</v>
          </cell>
        </row>
        <row r="10">
          <cell r="D10">
            <v>0.125</v>
          </cell>
        </row>
        <row r="11">
          <cell r="D11">
            <v>0.1</v>
          </cell>
        </row>
        <row r="12">
          <cell r="D12">
            <v>2.5</v>
          </cell>
        </row>
        <row r="13">
          <cell r="D13">
            <v>0.11666666666666665</v>
          </cell>
        </row>
        <row r="14">
          <cell r="D14">
            <v>0.11666666666666665</v>
          </cell>
        </row>
        <row r="15">
          <cell r="D15">
            <v>9.9999999999999992E-2</v>
          </cell>
        </row>
        <row r="16">
          <cell r="D16">
            <v>1.5</v>
          </cell>
        </row>
        <row r="17">
          <cell r="D17">
            <v>0.13</v>
          </cell>
        </row>
        <row r="18">
          <cell r="D18">
            <v>0.13</v>
          </cell>
        </row>
        <row r="19">
          <cell r="D19">
            <v>0.13</v>
          </cell>
        </row>
        <row r="22">
          <cell r="D22">
            <v>1.2000000000000002</v>
          </cell>
        </row>
        <row r="26">
          <cell r="D26">
            <v>0.06</v>
          </cell>
        </row>
        <row r="32">
          <cell r="D32">
            <v>0.10666666666666667</v>
          </cell>
        </row>
        <row r="33">
          <cell r="D33">
            <v>0.10666666666666667</v>
          </cell>
        </row>
        <row r="34">
          <cell r="D34">
            <v>5.3333333333333337E-2</v>
          </cell>
        </row>
        <row r="35">
          <cell r="D35">
            <v>5.3333333333333337E-2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1051-8D35-4DBB-B181-96C471155098}">
  <dimension ref="A1:M37"/>
  <sheetViews>
    <sheetView showGridLines="0" rightToLeft="1" tabSelected="1" zoomScale="115" zoomScaleNormal="115" workbookViewId="0">
      <selection activeCell="F7" sqref="F7"/>
    </sheetView>
  </sheetViews>
  <sheetFormatPr defaultColWidth="9" defaultRowHeight="15" x14ac:dyDescent="0.3"/>
  <cols>
    <col min="1" max="1" width="7.625" style="1" customWidth="1"/>
    <col min="2" max="2" width="17.625" style="1" customWidth="1"/>
    <col min="3" max="3" width="6.625" style="1" customWidth="1"/>
    <col min="4" max="4" width="1.875" style="1" customWidth="1"/>
    <col min="5" max="5" width="17.625" style="1" customWidth="1"/>
    <col min="6" max="6" width="6.625" style="1" customWidth="1"/>
    <col min="7" max="7" width="4.625" style="1" customWidth="1"/>
    <col min="8" max="16384" width="9" style="1"/>
  </cols>
  <sheetData>
    <row r="1" spans="1:13" s="4" customFormat="1" ht="18" customHeight="1" x14ac:dyDescent="0.3">
      <c r="A1" s="2"/>
      <c r="B1" s="2" t="s">
        <v>0</v>
      </c>
      <c r="C1" s="3" t="s">
        <v>1</v>
      </c>
      <c r="D1" s="1"/>
      <c r="E1" s="1"/>
      <c r="F1" s="1"/>
      <c r="G1" s="1"/>
      <c r="H1" s="1"/>
    </row>
    <row r="2" spans="1:13" s="4" customFormat="1" ht="15.95" customHeight="1" x14ac:dyDescent="0.3">
      <c r="A2" s="5" t="s">
        <v>2</v>
      </c>
      <c r="B2" s="6" t="s">
        <v>3</v>
      </c>
      <c r="C2" s="7">
        <f xml:space="preserve"> Appetizer * N_min</f>
        <v>0.87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s="4" customFormat="1" ht="15.95" customHeight="1" x14ac:dyDescent="0.3">
      <c r="A3" s="8"/>
      <c r="B3" s="6" t="s">
        <v>4</v>
      </c>
      <c r="C3" s="7">
        <f xml:space="preserve"> Salad * N_min</f>
        <v>3.48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4" customFormat="1" ht="15.95" customHeight="1" x14ac:dyDescent="0.3">
      <c r="A4" s="8"/>
      <c r="B4" s="6" t="s">
        <v>5</v>
      </c>
      <c r="C4" s="7">
        <f xml:space="preserve"> Main * N_min</f>
        <v>11.600000000000001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s="4" customFormat="1" ht="15.95" customHeight="1" x14ac:dyDescent="0.3">
      <c r="A5" s="9"/>
      <c r="B5" s="6" t="s">
        <v>6</v>
      </c>
      <c r="C5" s="7">
        <f xml:space="preserve"> Dessert * N_min</f>
        <v>5.8000000000000007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95" customHeight="1" x14ac:dyDescent="0.3">
      <c r="A6" s="10" t="s">
        <v>7</v>
      </c>
      <c r="B6" s="11" t="s">
        <v>8</v>
      </c>
      <c r="C6" s="12">
        <f xml:space="preserve"> Focaccia * N_min</f>
        <v>4.833333333333333</v>
      </c>
    </row>
    <row r="7" spans="1:13" ht="15.95" customHeight="1" x14ac:dyDescent="0.3">
      <c r="A7" s="13"/>
      <c r="B7" s="11" t="s">
        <v>9</v>
      </c>
      <c r="C7" s="12">
        <f xml:space="preserve"> Quiche * N_min</f>
        <v>2.4166666666666665</v>
      </c>
    </row>
    <row r="8" spans="1:13" ht="15.95" customHeight="1" x14ac:dyDescent="0.3">
      <c r="A8" s="13"/>
      <c r="B8" s="11" t="s">
        <v>10</v>
      </c>
      <c r="C8" s="14">
        <f xml:space="preserve"> ROUNDUP(MiniPizza * N_min, 0)</f>
        <v>51</v>
      </c>
    </row>
    <row r="9" spans="1:13" ht="15.95" customHeight="1" x14ac:dyDescent="0.3">
      <c r="A9" s="15"/>
      <c r="B9" s="11" t="s">
        <v>11</v>
      </c>
      <c r="C9" s="12">
        <f xml:space="preserve"> Salad_meal * N_min</f>
        <v>3.625</v>
      </c>
    </row>
    <row r="10" spans="1:13" ht="15.95" customHeight="1" x14ac:dyDescent="0.3">
      <c r="A10" s="5" t="s">
        <v>12</v>
      </c>
      <c r="B10" s="6" t="s">
        <v>13</v>
      </c>
      <c r="C10" s="16">
        <f xml:space="preserve"> Cake * N_min</f>
        <v>2.9000000000000004</v>
      </c>
    </row>
    <row r="11" spans="1:13" ht="15.95" customHeight="1" x14ac:dyDescent="0.3">
      <c r="A11" s="9"/>
      <c r="B11" s="6" t="s">
        <v>14</v>
      </c>
      <c r="C11" s="16">
        <f xml:space="preserve"> ROUNDUP(ChocoBalls * N_min, 0)</f>
        <v>73</v>
      </c>
    </row>
    <row r="12" spans="1:13" ht="15.95" customHeight="1" x14ac:dyDescent="0.3">
      <c r="A12" s="17" t="s">
        <v>15</v>
      </c>
      <c r="B12" s="11" t="s">
        <v>16</v>
      </c>
      <c r="C12" s="18">
        <f xml:space="preserve"> Cucumber_cooked * N_min</f>
        <v>3.3833333333333329</v>
      </c>
    </row>
    <row r="13" spans="1:13" ht="15.95" customHeight="1" x14ac:dyDescent="0.3">
      <c r="A13" s="13"/>
      <c r="B13" s="11" t="s">
        <v>17</v>
      </c>
      <c r="C13" s="18">
        <f xml:space="preserve"> Carrot_cooked * N_min</f>
        <v>3.3833333333333329</v>
      </c>
    </row>
    <row r="14" spans="1:13" ht="15.95" customHeight="1" x14ac:dyDescent="0.3">
      <c r="A14" s="13"/>
      <c r="B14" s="11" t="s">
        <v>18</v>
      </c>
      <c r="C14" s="18">
        <f xml:space="preserve"> Pepper_cooked * N_min</f>
        <v>2.9</v>
      </c>
    </row>
    <row r="15" spans="1:13" ht="15.95" customHeight="1" x14ac:dyDescent="0.3">
      <c r="A15" s="15"/>
      <c r="B15" s="11" t="s">
        <v>19</v>
      </c>
      <c r="C15" s="18">
        <f xml:space="preserve"> Tomato_cooked * N_min</f>
        <v>43.5</v>
      </c>
    </row>
    <row r="16" spans="1:13" ht="15.95" customHeight="1" x14ac:dyDescent="0.3">
      <c r="A16" s="19" t="s">
        <v>20</v>
      </c>
      <c r="B16" s="6" t="s">
        <v>21</v>
      </c>
      <c r="C16" s="16">
        <f xml:space="preserve"> Bamba_cooked * N_min</f>
        <v>3.77</v>
      </c>
    </row>
    <row r="17" spans="1:3" ht="15.95" customHeight="1" x14ac:dyDescent="0.3">
      <c r="A17" s="8"/>
      <c r="B17" s="6" t="s">
        <v>22</v>
      </c>
      <c r="C17" s="16">
        <f xml:space="preserve"> Bissli_cooked * N_min</f>
        <v>3.77</v>
      </c>
    </row>
    <row r="18" spans="1:3" ht="15.95" customHeight="1" x14ac:dyDescent="0.3">
      <c r="A18" s="9"/>
      <c r="B18" s="6" t="s">
        <v>23</v>
      </c>
      <c r="C18" s="16">
        <f xml:space="preserve"> Chips_cooked * N_min</f>
        <v>3.77</v>
      </c>
    </row>
    <row r="19" spans="1:3" ht="15.95" customHeight="1" x14ac:dyDescent="0.3">
      <c r="A19" s="10" t="s">
        <v>24</v>
      </c>
      <c r="B19" s="11" t="s">
        <v>25</v>
      </c>
      <c r="C19" s="18">
        <f xml:space="preserve"> ROUNDUP(Beer_cooked * N_min, 0)</f>
        <v>35</v>
      </c>
    </row>
    <row r="20" spans="1:3" ht="15.95" customHeight="1" x14ac:dyDescent="0.3">
      <c r="A20" s="13"/>
      <c r="B20" s="11" t="s">
        <v>26</v>
      </c>
      <c r="C20" s="20">
        <f xml:space="preserve"> Wine_cooked * N_min</f>
        <v>1.74</v>
      </c>
    </row>
    <row r="21" spans="1:3" ht="15.95" customHeight="1" x14ac:dyDescent="0.3">
      <c r="A21" s="13"/>
      <c r="B21" s="11" t="s">
        <v>27</v>
      </c>
      <c r="C21" s="18">
        <v>1</v>
      </c>
    </row>
    <row r="22" spans="1:3" ht="15.95" customHeight="1" x14ac:dyDescent="0.3">
      <c r="A22" s="13"/>
      <c r="B22" s="11" t="s">
        <v>28</v>
      </c>
      <c r="C22" s="18">
        <v>1</v>
      </c>
    </row>
    <row r="23" spans="1:3" ht="15.95" customHeight="1" x14ac:dyDescent="0.3">
      <c r="A23" s="15"/>
      <c r="B23" s="11" t="s">
        <v>29</v>
      </c>
      <c r="C23" s="18">
        <v>1</v>
      </c>
    </row>
    <row r="24" spans="1:3" ht="15.95" customHeight="1" x14ac:dyDescent="0.3">
      <c r="A24" s="5" t="s">
        <v>30</v>
      </c>
      <c r="B24" s="6" t="s">
        <v>31</v>
      </c>
      <c r="C24" s="7">
        <f xml:space="preserve"> Coke_cooked * N_min</f>
        <v>3.0933333333333337</v>
      </c>
    </row>
    <row r="25" spans="1:3" ht="15.95" customHeight="1" x14ac:dyDescent="0.3">
      <c r="A25" s="8"/>
      <c r="B25" s="6" t="s">
        <v>32</v>
      </c>
      <c r="C25" s="7">
        <f xml:space="preserve"> Sprite_cooked * N_min</f>
        <v>3.0933333333333337</v>
      </c>
    </row>
    <row r="26" spans="1:3" ht="15.95" customHeight="1" x14ac:dyDescent="0.3">
      <c r="A26" s="8"/>
      <c r="B26" s="6" t="s">
        <v>33</v>
      </c>
      <c r="C26" s="21">
        <f xml:space="preserve"> Juice_Orange_cooked * N_min</f>
        <v>1.5466666666666669</v>
      </c>
    </row>
    <row r="27" spans="1:3" ht="15.95" customHeight="1" thickBot="1" x14ac:dyDescent="0.35">
      <c r="A27" s="22"/>
      <c r="B27" s="23" t="s">
        <v>34</v>
      </c>
      <c r="C27" s="24">
        <f xml:space="preserve"> Juice_Other_cooked * N_min</f>
        <v>1.5466666666666669</v>
      </c>
    </row>
    <row r="28" spans="1:3" ht="15.95" customHeight="1" x14ac:dyDescent="0.3"/>
    <row r="29" spans="1:3" ht="15.95" customHeight="1" x14ac:dyDescent="0.3"/>
    <row r="30" spans="1:3" ht="15.95" customHeight="1" x14ac:dyDescent="0.3"/>
    <row r="31" spans="1:3" ht="15.95" customHeight="1" x14ac:dyDescent="0.3"/>
    <row r="32" spans="1:3" ht="15.95" customHeight="1" x14ac:dyDescent="0.3"/>
    <row r="33" ht="15.95" customHeight="1" x14ac:dyDescent="0.3"/>
    <row r="34" ht="15.95" customHeight="1" x14ac:dyDescent="0.3"/>
    <row r="35" ht="15.95" customHeight="1" x14ac:dyDescent="0.3"/>
    <row r="36" ht="15.95" customHeight="1" x14ac:dyDescent="0.3"/>
    <row r="37" ht="15.95" customHeight="1" x14ac:dyDescent="0.3"/>
  </sheetData>
  <mergeCells count="7">
    <mergeCell ref="A16:A18"/>
    <mergeCell ref="A19:A23"/>
    <mergeCell ref="A24:A27"/>
    <mergeCell ref="A2:A5"/>
    <mergeCell ref="A6:A9"/>
    <mergeCell ref="A10:A11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כמות אוכל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Cfir Amar</dc:creator>
  <cp:lastModifiedBy>Cfir Amar</cp:lastModifiedBy>
  <dcterms:created xsi:type="dcterms:W3CDTF">2026-10-18T11:46:45Z</dcterms:created>
  <dcterms:modified xsi:type="dcterms:W3CDTF">2026-10-18T11:48:07Z</dcterms:modified>
</cp:coreProperties>
</file>