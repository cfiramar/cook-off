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Personal\Cook-Off-Contest\docs\"/>
    </mc:Choice>
  </mc:AlternateContent>
  <xr:revisionPtr revIDLastSave="0" documentId="8_{7B274619-484C-4601-861F-287574091F62}" xr6:coauthVersionLast="47" xr6:coauthVersionMax="47" xr10:uidLastSave="{00000000-0000-0000-0000-000000000000}"/>
  <bookViews>
    <workbookView xWindow="-120" yWindow="-120" windowWidth="29040" windowHeight="15720" xr2:uid="{F1DB2BD0-BDF0-4E89-948F-BCC484678AE5}"/>
  </bookViews>
  <sheets>
    <sheet name="מפתח" sheetId="1" r:id="rId1"/>
  </sheets>
  <externalReferences>
    <externalReference r:id="rId2"/>
  </externalReferences>
  <definedNames>
    <definedName name="Appetizer">מפתח!$C$2</definedName>
    <definedName name="Bamba_cooked">מפתח!$C$16</definedName>
    <definedName name="Beer_cooked">מפתח!$C$21</definedName>
    <definedName name="Bissli_cooked">מפתח!$C$17</definedName>
    <definedName name="Cake">מפתח!$C$10</definedName>
    <definedName name="Carrot_cooked">מפתח!$C$13</definedName>
    <definedName name="Chips_cooked">מפתח!$C$18</definedName>
    <definedName name="ChocoBalls">מפתח!$C$11</definedName>
    <definedName name="Coke_cooked">מפתח!$C$31</definedName>
    <definedName name="Cucumber_cooked">מפתח!$C$12</definedName>
    <definedName name="Dessert">מפתח!$C$5</definedName>
    <definedName name="Focaccia">מפתח!$C$6</definedName>
    <definedName name="Juice_Orange_cooked">מפתח!$C$33</definedName>
    <definedName name="Juice_Other_cooked">מפתח!$C$34</definedName>
    <definedName name="Main">מפתח!$C$4</definedName>
    <definedName name="MiniPizza">מפתח!$C$8</definedName>
    <definedName name="N_max" localSheetId="0">[1]מוזמנים!$M$5</definedName>
    <definedName name="N_max">[1]מוזמנים!$M$5</definedName>
    <definedName name="N_min" localSheetId="0">[1]מוזמנים!$M$4</definedName>
    <definedName name="N_min">[1]מוזמנים!$M$4</definedName>
    <definedName name="Pepper_cooked">מפתח!$C$14</definedName>
    <definedName name="Quiche">מפתח!$C$7</definedName>
    <definedName name="Salad">מפתח!$C$3</definedName>
    <definedName name="Salad_meal">מפתח!$C$9</definedName>
    <definedName name="Sprite_cooked">מפתח!$C$32</definedName>
    <definedName name="Tomato_cooked">מפתח!$C$15</definedName>
    <definedName name="Wine_cooked">מפתח!$C$25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0" i="1" l="1"/>
  <c r="C25" i="1"/>
  <c r="C21" i="1"/>
  <c r="C15" i="1"/>
  <c r="C14" i="1"/>
  <c r="C13" i="1"/>
  <c r="C12" i="1"/>
  <c r="C11" i="1"/>
  <c r="C10" i="1"/>
  <c r="C9" i="1"/>
  <c r="C7" i="1"/>
  <c r="C6" i="1"/>
  <c r="C33" i="1" l="1"/>
  <c r="C32" i="1"/>
  <c r="C34" i="1"/>
  <c r="C31" i="1"/>
</calcChain>
</file>

<file path=xl/sharedStrings.xml><?xml version="1.0" encoding="utf-8"?>
<sst xmlns="http://schemas.openxmlformats.org/spreadsheetml/2006/main" count="43" uniqueCount="42">
  <si>
    <t>קטגוריה</t>
  </si>
  <si>
    <t>פריט</t>
  </si>
  <si>
    <t>מפתח</t>
  </si>
  <si>
    <t>מנות
אורחים</t>
  </si>
  <si>
    <t>מתאבן</t>
  </si>
  <si>
    <t>סלט</t>
  </si>
  <si>
    <t>מלוח</t>
  </si>
  <si>
    <t>קינוח</t>
  </si>
  <si>
    <t>מנות
שלי</t>
  </si>
  <si>
    <t>פוקאצה (יח')</t>
  </si>
  <si>
    <t>פשטידה (תבנית)</t>
  </si>
  <si>
    <t>פיצות קטנות (יח')</t>
  </si>
  <si>
    <t>סלט (קערה)</t>
  </si>
  <si>
    <t>קינוחים</t>
  </si>
  <si>
    <t>עוגה (פס)</t>
  </si>
  <si>
    <t>כדורי שוקולד (יח')</t>
  </si>
  <si>
    <t>ירקות</t>
  </si>
  <si>
    <t>מלפפון (יח')</t>
  </si>
  <si>
    <t>גזר (יח')</t>
  </si>
  <si>
    <t>גמבה (יח')</t>
  </si>
  <si>
    <t>עגבניות שרי (יח')</t>
  </si>
  <si>
    <t>חטיפים</t>
  </si>
  <si>
    <t>במבה (שקיות גדולות)</t>
  </si>
  <si>
    <t>ביסלי (שקיות גדולות)</t>
  </si>
  <si>
    <t>תפוצ’יפס (שקיות גדולות)</t>
  </si>
  <si>
    <t>שתייה
חריפה</t>
  </si>
  <si>
    <t>אחוז האנשים ששותים בירות</t>
  </si>
  <si>
    <t>בקבוק לאדם</t>
  </si>
  <si>
    <t>בירות (בקבוקים)</t>
  </si>
  <si>
    <t>אחוז האנשים ששותים יין</t>
  </si>
  <si>
    <t>כוסות לאדם</t>
  </si>
  <si>
    <t>כוסות לבקבוק</t>
  </si>
  <si>
    <t>יין (בקבוקים)</t>
  </si>
  <si>
    <t>וודקה</t>
  </si>
  <si>
    <t>טקילה</t>
  </si>
  <si>
    <t>רום</t>
  </si>
  <si>
    <t>שתייה
קלה</t>
  </si>
  <si>
    <t>המרה לבקבוק</t>
  </si>
  <si>
    <t>קולה</t>
  </si>
  <si>
    <t>ספרייט</t>
  </si>
  <si>
    <t>מיץ תפוזים</t>
  </si>
  <si>
    <t>פיוזטי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</si>
</sst>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5" x14ac:knownFonts="1">
    <font>
      <sz val="12"/>
      <color theme="1"/>
      <name val="Assistant"/>
      <family val="2"/>
    </font>
    <font>
      <sz val="11"/>
      <color theme="1"/>
      <name val="Arial"/>
      <family val="2"/>
      <scheme val="minor"/>
    </font>
    <font>
      <sz val="11"/>
      <color theme="1"/>
      <name val="Assistant"/>
    </font>
    <font>
      <b/>
      <sz val="12"/>
      <color theme="0"/>
      <name val="Assistant"/>
    </font>
    <font>
      <b/>
      <sz val="11"/>
      <color theme="1"/>
      <name val="Assistant"/>
    </font>
  </fonts>
  <fills count="5">
    <fill>
      <patternFill patternType="none"/>
    </fill>
    <fill>
      <patternFill patternType="gray125"/>
    </fill>
    <fill>
      <patternFill patternType="solid">
        <fgColor rgb="FF3D7F7C"/>
        <bgColor indexed="64"/>
      </patternFill>
    </fill>
    <fill>
      <patternFill patternType="solid">
        <fgColor rgb="FFC6DCD9"/>
        <bgColor indexed="64"/>
      </patternFill>
    </fill>
    <fill>
      <patternFill patternType="solid">
        <fgColor rgb="FFE8F0EF"/>
        <bgColor indexed="64"/>
      </patternFill>
    </fill>
  </fills>
  <borders count="15">
    <border>
      <left/>
      <right/>
      <top/>
      <bottom/>
      <diagonal/>
    </border>
    <border>
      <left style="medium">
        <color rgb="FF3D7F7C"/>
      </left>
      <right style="thin">
        <color rgb="FF3D7F7C"/>
      </right>
      <top style="medium">
        <color rgb="FF3D7F7C"/>
      </top>
      <bottom style="medium">
        <color rgb="FF3D7F7C"/>
      </bottom>
      <diagonal/>
    </border>
    <border>
      <left style="thin">
        <color rgb="FF3D7F7C"/>
      </left>
      <right style="thin">
        <color rgb="FF3D7F7C"/>
      </right>
      <top style="medium">
        <color rgb="FF3D7F7C"/>
      </top>
      <bottom style="medium">
        <color rgb="FF3D7F7C"/>
      </bottom>
      <diagonal/>
    </border>
    <border>
      <left style="thin">
        <color rgb="FF3D7F7C"/>
      </left>
      <right style="medium">
        <color rgb="FF3D7F7C"/>
      </right>
      <top style="medium">
        <color rgb="FF3D7F7C"/>
      </top>
      <bottom style="medium">
        <color rgb="FF3D7F7C"/>
      </bottom>
      <diagonal/>
    </border>
    <border>
      <left style="medium">
        <color rgb="FF3D7F7C"/>
      </left>
      <right style="thin">
        <color rgb="FF3D7F7C"/>
      </right>
      <top style="medium">
        <color rgb="FF3D7F7C"/>
      </top>
      <bottom/>
      <diagonal/>
    </border>
    <border>
      <left style="thin">
        <color rgb="FF3D7F7C"/>
      </left>
      <right style="thin">
        <color rgb="FF3D7F7C"/>
      </right>
      <top style="medium">
        <color rgb="FF3D7F7C"/>
      </top>
      <bottom style="thin">
        <color rgb="FF3D7F7C"/>
      </bottom>
      <diagonal/>
    </border>
    <border>
      <left style="thin">
        <color rgb="FF3D7F7C"/>
      </left>
      <right style="medium">
        <color rgb="FF3D7F7C"/>
      </right>
      <top style="medium">
        <color rgb="FF3D7F7C"/>
      </top>
      <bottom style="thin">
        <color rgb="FF3D7F7C"/>
      </bottom>
      <diagonal/>
    </border>
    <border>
      <left style="medium">
        <color rgb="FF3D7F7C"/>
      </left>
      <right style="thin">
        <color rgb="FF3D7F7C"/>
      </right>
      <top/>
      <bottom/>
      <diagonal/>
    </border>
    <border>
      <left style="thin">
        <color rgb="FF3D7F7C"/>
      </left>
      <right style="thin">
        <color rgb="FF3D7F7C"/>
      </right>
      <top style="thin">
        <color rgb="FF3D7F7C"/>
      </top>
      <bottom style="thin">
        <color rgb="FF3D7F7C"/>
      </bottom>
      <diagonal/>
    </border>
    <border>
      <left style="thin">
        <color rgb="FF3D7F7C"/>
      </left>
      <right style="medium">
        <color rgb="FF3D7F7C"/>
      </right>
      <top style="thin">
        <color rgb="FF3D7F7C"/>
      </top>
      <bottom style="thin">
        <color rgb="FF3D7F7C"/>
      </bottom>
      <diagonal/>
    </border>
    <border>
      <left style="medium">
        <color rgb="FF3D7F7C"/>
      </left>
      <right style="thin">
        <color rgb="FF3D7F7C"/>
      </right>
      <top style="medium">
        <color rgb="FF3D7F7C"/>
      </top>
      <bottom style="thin">
        <color rgb="FF3D7F7C"/>
      </bottom>
      <diagonal/>
    </border>
    <border>
      <left style="medium">
        <color rgb="FF3D7F7C"/>
      </left>
      <right style="thin">
        <color rgb="FF3D7F7C"/>
      </right>
      <top style="thin">
        <color rgb="FF3D7F7C"/>
      </top>
      <bottom style="thin">
        <color rgb="FF3D7F7C"/>
      </bottom>
      <diagonal/>
    </border>
    <border>
      <left style="medium">
        <color rgb="FF3D7F7C"/>
      </left>
      <right style="thin">
        <color rgb="FF3D7F7C"/>
      </right>
      <top/>
      <bottom style="medium">
        <color rgb="FF3D7F7C"/>
      </bottom>
      <diagonal/>
    </border>
    <border>
      <left style="thin">
        <color rgb="FF3D7F7C"/>
      </left>
      <right style="thin">
        <color rgb="FF3D7F7C"/>
      </right>
      <top style="thin">
        <color rgb="FF3D7F7C"/>
      </top>
      <bottom style="medium">
        <color rgb="FF3D7F7C"/>
      </bottom>
      <diagonal/>
    </border>
    <border>
      <left style="thin">
        <color rgb="FF3D7F7C"/>
      </left>
      <right style="medium">
        <color rgb="FF3D7F7C"/>
      </right>
      <top style="thin">
        <color rgb="FF3D7F7C"/>
      </top>
      <bottom style="medium">
        <color rgb="FF3D7F7C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0" borderId="0" xfId="1" applyFont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/>
    </xf>
    <xf numFmtId="2" fontId="2" fillId="3" borderId="6" xfId="1" applyNumberFormat="1" applyFont="1" applyFill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2" fontId="2" fillId="3" borderId="9" xfId="1" applyNumberFormat="1" applyFont="1" applyFill="1" applyBorder="1" applyAlignment="1">
      <alignment horizontal="center" vertical="center"/>
    </xf>
    <xf numFmtId="0" fontId="2" fillId="4" borderId="5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4" fillId="3" borderId="13" xfId="1" applyFont="1" applyFill="1" applyBorder="1" applyAlignment="1">
      <alignment horizontal="center" vertical="center"/>
    </xf>
    <xf numFmtId="2" fontId="2" fillId="3" borderId="14" xfId="1" applyNumberFormat="1" applyFont="1" applyFill="1" applyBorder="1" applyAlignment="1">
      <alignment horizontal="center" vertical="center"/>
    </xf>
    <xf numFmtId="0" fontId="2" fillId="4" borderId="8" xfId="1" applyFont="1" applyFill="1" applyBorder="1" applyAlignment="1">
      <alignment horizontal="center" vertical="center"/>
    </xf>
    <xf numFmtId="0" fontId="2" fillId="4" borderId="10" xfId="1" applyFont="1" applyFill="1" applyBorder="1" applyAlignment="1">
      <alignment horizontal="center" vertical="center" wrapText="1"/>
    </xf>
    <xf numFmtId="0" fontId="4" fillId="4" borderId="5" xfId="1" applyFont="1" applyFill="1" applyBorder="1" applyAlignment="1">
      <alignment horizontal="center" vertical="center"/>
    </xf>
    <xf numFmtId="2" fontId="2" fillId="4" borderId="6" xfId="1" applyNumberFormat="1" applyFont="1" applyFill="1" applyBorder="1" applyAlignment="1">
      <alignment horizontal="center" vertical="center"/>
    </xf>
    <xf numFmtId="0" fontId="2" fillId="4" borderId="11" xfId="1" applyFont="1" applyFill="1" applyBorder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2" fontId="2" fillId="4" borderId="9" xfId="1" applyNumberFormat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2" fillId="4" borderId="4" xfId="1" applyFont="1" applyFill="1" applyBorder="1" applyAlignment="1">
      <alignment horizontal="center" vertical="center"/>
    </xf>
    <xf numFmtId="0" fontId="2" fillId="4" borderId="7" xfId="1" applyFont="1" applyFill="1" applyBorder="1" applyAlignment="1">
      <alignment horizontal="center" vertical="center"/>
    </xf>
    <xf numFmtId="0" fontId="2" fillId="4" borderId="12" xfId="1" applyFont="1" applyFill="1" applyBorder="1" applyAlignment="1">
      <alignment horizontal="center" vertical="center"/>
    </xf>
    <xf numFmtId="0" fontId="4" fillId="4" borderId="13" xfId="1" applyFont="1" applyFill="1" applyBorder="1" applyAlignment="1">
      <alignment horizontal="center" vertical="center"/>
    </xf>
    <xf numFmtId="2" fontId="2" fillId="4" borderId="14" xfId="1" applyNumberFormat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3" borderId="9" xfId="1" applyFont="1" applyFill="1" applyBorder="1" applyAlignment="1">
      <alignment horizontal="center" vertical="center"/>
    </xf>
    <xf numFmtId="0" fontId="2" fillId="3" borderId="14" xfId="1" applyFont="1" applyFill="1" applyBorder="1" applyAlignment="1">
      <alignment horizontal="center" vertical="center"/>
    </xf>
    <xf numFmtId="0" fontId="2" fillId="4" borderId="4" xfId="1" applyFont="1" applyFill="1" applyBorder="1" applyAlignment="1">
      <alignment horizontal="center" vertical="center" wrapText="1"/>
    </xf>
    <xf numFmtId="0" fontId="2" fillId="4" borderId="6" xfId="1" applyFont="1" applyFill="1" applyBorder="1" applyAlignment="1">
      <alignment horizontal="center" vertical="center"/>
    </xf>
    <xf numFmtId="0" fontId="2" fillId="4" borderId="9" xfId="1" applyFont="1" applyFill="1" applyBorder="1" applyAlignment="1">
      <alignment horizontal="center" vertical="center"/>
    </xf>
    <xf numFmtId="0" fontId="2" fillId="4" borderId="14" xfId="1" applyFont="1" applyFill="1" applyBorder="1" applyAlignment="1">
      <alignment horizontal="center" vertical="center"/>
    </xf>
    <xf numFmtId="1" fontId="2" fillId="4" borderId="6" xfId="1" applyNumberFormat="1" applyFont="1" applyFill="1" applyBorder="1" applyAlignment="1">
      <alignment horizontal="center" vertical="center"/>
    </xf>
    <xf numFmtId="1" fontId="2" fillId="4" borderId="9" xfId="1" applyNumberFormat="1" applyFont="1" applyFill="1" applyBorder="1" applyAlignment="1">
      <alignment horizontal="center" vertical="center"/>
    </xf>
    <xf numFmtId="1" fontId="2" fillId="4" borderId="14" xfId="1" applyNumberFormat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165" fontId="2" fillId="3" borderId="6" xfId="1" applyNumberFormat="1" applyFont="1" applyFill="1" applyBorder="1" applyAlignment="1">
      <alignment horizontal="center" vertical="center"/>
    </xf>
    <xf numFmtId="0" fontId="2" fillId="3" borderId="8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77E276DC-21D3-465B-AFF6-F23934ED7F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cuments/Misc/Halloween/&#1514;&#1499;&#1504;&#1493;&#1503;.xlsx" TargetMode="External"/><Relationship Id="rId2" Type="http://schemas.openxmlformats.org/officeDocument/2006/relationships/externalLinkPath" Target="file:///D:\Documents\Misc\Halloween\&#1514;&#1499;&#1504;&#1493;&#1503;.xlsx" TargetMode="External"/><Relationship Id="rId1" Type="http://schemas.openxmlformats.org/officeDocument/2006/relationships/externalLinkPath" Target="/Documents/Misc/Halloween/&#1514;&#1499;&#1504;&#1493;&#15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מוזמנים"/>
      <sheetName val="להביא לקרן"/>
      <sheetName val="בחירת תאריך"/>
      <sheetName val="כמות אוכל"/>
      <sheetName val="מפתח"/>
      <sheetName val="גיליון1 (2)"/>
      <sheetName val="2025"/>
    </sheetNames>
    <sheetDataSet>
      <sheetData sheetId="0">
        <row r="4">
          <cell r="M4">
            <v>29</v>
          </cell>
        </row>
        <row r="5">
          <cell r="M5">
            <v>30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C63B1-E0DE-420D-A1B7-A224084D033E}">
  <dimension ref="A1:C36"/>
  <sheetViews>
    <sheetView showGridLines="0" rightToLeft="1" tabSelected="1" zoomScale="115" zoomScaleNormal="115" workbookViewId="0">
      <selection activeCell="G9" sqref="G9"/>
    </sheetView>
  </sheetViews>
  <sheetFormatPr defaultColWidth="9" defaultRowHeight="15" x14ac:dyDescent="0.3"/>
  <cols>
    <col min="1" max="1" width="7.625" style="1" customWidth="1"/>
    <col min="2" max="2" width="20.625" style="1" customWidth="1"/>
    <col min="3" max="3" width="9.625" style="1" customWidth="1"/>
    <col min="4" max="4" width="9" style="1" customWidth="1"/>
    <col min="5" max="5" width="6.625" style="1" customWidth="1"/>
    <col min="6" max="6" width="4.625" style="1" customWidth="1"/>
    <col min="7" max="7" width="7.625" style="1" customWidth="1"/>
    <col min="8" max="8" width="4.625" style="1" customWidth="1"/>
    <col min="9" max="9" width="6.625" style="1" customWidth="1"/>
    <col min="10" max="10" width="4.625" style="1" customWidth="1"/>
    <col min="11" max="11" width="7.625" style="1" customWidth="1"/>
    <col min="12" max="12" width="4.625" style="1" customWidth="1"/>
    <col min="13" max="14" width="8.625" style="1" customWidth="1"/>
    <col min="15" max="16384" width="9" style="1"/>
  </cols>
  <sheetData>
    <row r="1" spans="1:3" ht="18" customHeight="1" thickBot="1" x14ac:dyDescent="0.35">
      <c r="A1" s="2" t="s">
        <v>0</v>
      </c>
      <c r="B1" s="3" t="s">
        <v>1</v>
      </c>
      <c r="C1" s="4" t="s">
        <v>2</v>
      </c>
    </row>
    <row r="2" spans="1:3" ht="15.95" customHeight="1" x14ac:dyDescent="0.3">
      <c r="A2" s="5" t="s">
        <v>3</v>
      </c>
      <c r="B2" s="6" t="s">
        <v>4</v>
      </c>
      <c r="C2" s="7">
        <v>0.03</v>
      </c>
    </row>
    <row r="3" spans="1:3" ht="15.95" customHeight="1" x14ac:dyDescent="0.3">
      <c r="A3" s="8"/>
      <c r="B3" s="9" t="s">
        <v>5</v>
      </c>
      <c r="C3" s="10">
        <v>0.12</v>
      </c>
    </row>
    <row r="4" spans="1:3" ht="15.95" customHeight="1" x14ac:dyDescent="0.3">
      <c r="A4" s="8"/>
      <c r="B4" s="9" t="s">
        <v>6</v>
      </c>
      <c r="C4" s="10">
        <v>0.4</v>
      </c>
    </row>
    <row r="5" spans="1:3" ht="15.95" customHeight="1" thickBot="1" x14ac:dyDescent="0.35">
      <c r="A5" s="12"/>
      <c r="B5" s="13" t="s">
        <v>7</v>
      </c>
      <c r="C5" s="14">
        <v>0.2</v>
      </c>
    </row>
    <row r="6" spans="1:3" ht="15.95" customHeight="1" x14ac:dyDescent="0.3">
      <c r="A6" s="16" t="s">
        <v>8</v>
      </c>
      <c r="B6" s="17" t="s">
        <v>9</v>
      </c>
      <c r="C6" s="18">
        <f>1/6</f>
        <v>0.16666666666666666</v>
      </c>
    </row>
    <row r="7" spans="1:3" ht="15.95" customHeight="1" x14ac:dyDescent="0.3">
      <c r="A7" s="19"/>
      <c r="B7" s="20" t="s">
        <v>10</v>
      </c>
      <c r="C7" s="21">
        <f>1/12</f>
        <v>8.3333333333333329E-2</v>
      </c>
    </row>
    <row r="8" spans="1:3" ht="15.95" customHeight="1" x14ac:dyDescent="0.3">
      <c r="A8" s="19"/>
      <c r="B8" s="20" t="s">
        <v>11</v>
      </c>
      <c r="C8" s="21">
        <v>1.75</v>
      </c>
    </row>
    <row r="9" spans="1:3" ht="15.95" customHeight="1" thickBot="1" x14ac:dyDescent="0.35">
      <c r="A9" s="19"/>
      <c r="B9" s="20" t="s">
        <v>12</v>
      </c>
      <c r="C9" s="21">
        <f>1/8</f>
        <v>0.125</v>
      </c>
    </row>
    <row r="10" spans="1:3" ht="15.95" customHeight="1" x14ac:dyDescent="0.3">
      <c r="A10" s="22" t="s">
        <v>13</v>
      </c>
      <c r="B10" s="6" t="s">
        <v>14</v>
      </c>
      <c r="C10" s="7">
        <f>1/10</f>
        <v>0.1</v>
      </c>
    </row>
    <row r="11" spans="1:3" ht="15.95" customHeight="1" thickBot="1" x14ac:dyDescent="0.35">
      <c r="A11" s="8"/>
      <c r="B11" s="9" t="s">
        <v>15</v>
      </c>
      <c r="C11" s="10">
        <f>2.5</f>
        <v>2.5</v>
      </c>
    </row>
    <row r="12" spans="1:3" ht="15.95" customHeight="1" x14ac:dyDescent="0.3">
      <c r="A12" s="23" t="s">
        <v>16</v>
      </c>
      <c r="B12" s="17" t="s">
        <v>17</v>
      </c>
      <c r="C12" s="18">
        <f>0.35/3</f>
        <v>0.11666666666666665</v>
      </c>
    </row>
    <row r="13" spans="1:3" ht="15.95" customHeight="1" x14ac:dyDescent="0.3">
      <c r="A13" s="24"/>
      <c r="B13" s="20" t="s">
        <v>18</v>
      </c>
      <c r="C13" s="21">
        <f>0.35/3</f>
        <v>0.11666666666666665</v>
      </c>
    </row>
    <row r="14" spans="1:3" ht="15.95" customHeight="1" x14ac:dyDescent="0.3">
      <c r="A14" s="24"/>
      <c r="B14" s="20" t="s">
        <v>19</v>
      </c>
      <c r="C14" s="21">
        <f>0.3/3</f>
        <v>9.9999999999999992E-2</v>
      </c>
    </row>
    <row r="15" spans="1:3" ht="15.95" customHeight="1" thickBot="1" x14ac:dyDescent="0.35">
      <c r="A15" s="25"/>
      <c r="B15" s="26" t="s">
        <v>20</v>
      </c>
      <c r="C15" s="27">
        <f>1.5</f>
        <v>1.5</v>
      </c>
    </row>
    <row r="16" spans="1:3" ht="15.95" customHeight="1" x14ac:dyDescent="0.3">
      <c r="A16" s="22" t="s">
        <v>21</v>
      </c>
      <c r="B16" s="6" t="s">
        <v>22</v>
      </c>
      <c r="C16" s="28">
        <v>0.13</v>
      </c>
    </row>
    <row r="17" spans="1:3" ht="15.95" customHeight="1" x14ac:dyDescent="0.3">
      <c r="A17" s="8"/>
      <c r="B17" s="9" t="s">
        <v>23</v>
      </c>
      <c r="C17" s="29">
        <v>0.13</v>
      </c>
    </row>
    <row r="18" spans="1:3" ht="15.95" customHeight="1" thickBot="1" x14ac:dyDescent="0.35">
      <c r="A18" s="12"/>
      <c r="B18" s="13" t="s">
        <v>24</v>
      </c>
      <c r="C18" s="30">
        <v>0.13</v>
      </c>
    </row>
    <row r="19" spans="1:3" ht="15.95" customHeight="1" x14ac:dyDescent="0.3">
      <c r="A19" s="31" t="s">
        <v>25</v>
      </c>
      <c r="B19" s="11" t="s">
        <v>26</v>
      </c>
      <c r="C19" s="32">
        <v>0.8</v>
      </c>
    </row>
    <row r="20" spans="1:3" ht="15.95" customHeight="1" x14ac:dyDescent="0.3">
      <c r="A20" s="24"/>
      <c r="B20" s="15" t="s">
        <v>27</v>
      </c>
      <c r="C20" s="33">
        <v>1.5</v>
      </c>
    </row>
    <row r="21" spans="1:3" ht="15.95" customHeight="1" thickBot="1" x14ac:dyDescent="0.35">
      <c r="A21" s="24"/>
      <c r="B21" s="26" t="s">
        <v>28</v>
      </c>
      <c r="C21" s="34">
        <f xml:space="preserve"> C19 * C20</f>
        <v>1.2000000000000002</v>
      </c>
    </row>
    <row r="22" spans="1:3" ht="15.95" customHeight="1" x14ac:dyDescent="0.3">
      <c r="A22" s="24"/>
      <c r="B22" s="11" t="s">
        <v>29</v>
      </c>
      <c r="C22" s="32">
        <v>0.2</v>
      </c>
    </row>
    <row r="23" spans="1:3" ht="15.95" customHeight="1" x14ac:dyDescent="0.3">
      <c r="A23" s="24"/>
      <c r="B23" s="15" t="s">
        <v>30</v>
      </c>
      <c r="C23" s="33">
        <v>1.5</v>
      </c>
    </row>
    <row r="24" spans="1:3" ht="15.95" customHeight="1" x14ac:dyDescent="0.3">
      <c r="A24" s="24"/>
      <c r="B24" s="15" t="s">
        <v>31</v>
      </c>
      <c r="C24" s="33">
        <v>5</v>
      </c>
    </row>
    <row r="25" spans="1:3" ht="15.95" customHeight="1" thickBot="1" x14ac:dyDescent="0.35">
      <c r="A25" s="24"/>
      <c r="B25" s="26" t="s">
        <v>32</v>
      </c>
      <c r="C25" s="27">
        <f>C22*(C23/C24)</f>
        <v>0.06</v>
      </c>
    </row>
    <row r="26" spans="1:3" ht="15.95" customHeight="1" x14ac:dyDescent="0.3">
      <c r="A26" s="24"/>
      <c r="B26" s="17" t="s">
        <v>33</v>
      </c>
      <c r="C26" s="35">
        <v>0</v>
      </c>
    </row>
    <row r="27" spans="1:3" ht="15.95" customHeight="1" x14ac:dyDescent="0.3">
      <c r="A27" s="24"/>
      <c r="B27" s="20" t="s">
        <v>34</v>
      </c>
      <c r="C27" s="36">
        <v>0</v>
      </c>
    </row>
    <row r="28" spans="1:3" ht="15.95" customHeight="1" thickBot="1" x14ac:dyDescent="0.35">
      <c r="A28" s="25"/>
      <c r="B28" s="26" t="s">
        <v>35</v>
      </c>
      <c r="C28" s="37">
        <v>0</v>
      </c>
    </row>
    <row r="29" spans="1:3" ht="15.95" customHeight="1" x14ac:dyDescent="0.3">
      <c r="A29" s="5" t="s">
        <v>36</v>
      </c>
      <c r="B29" s="38" t="s">
        <v>30</v>
      </c>
      <c r="C29" s="39">
        <v>2</v>
      </c>
    </row>
    <row r="30" spans="1:3" ht="15.95" customHeight="1" x14ac:dyDescent="0.3">
      <c r="A30" s="8"/>
      <c r="B30" s="40" t="s">
        <v>37</v>
      </c>
      <c r="C30" s="10">
        <f xml:space="preserve"> (C29 * 0.24) / 1.5</f>
        <v>0.32</v>
      </c>
    </row>
    <row r="31" spans="1:3" ht="15.95" customHeight="1" x14ac:dyDescent="0.3">
      <c r="A31" s="8"/>
      <c r="B31" s="9" t="s">
        <v>38</v>
      </c>
      <c r="C31" s="10">
        <f xml:space="preserve"> C30 * 1/3</f>
        <v>0.10666666666666667</v>
      </c>
    </row>
    <row r="32" spans="1:3" ht="15.95" customHeight="1" x14ac:dyDescent="0.3">
      <c r="A32" s="8"/>
      <c r="B32" s="9" t="s">
        <v>39</v>
      </c>
      <c r="C32" s="10">
        <f xml:space="preserve"> C30 * 1/3</f>
        <v>0.10666666666666667</v>
      </c>
    </row>
    <row r="33" spans="1:3" ht="15.95" customHeight="1" x14ac:dyDescent="0.3">
      <c r="A33" s="8"/>
      <c r="B33" s="9" t="s">
        <v>40</v>
      </c>
      <c r="C33" s="10">
        <f xml:space="preserve"> C30 * 1/6</f>
        <v>5.3333333333333337E-2</v>
      </c>
    </row>
    <row r="34" spans="1:3" ht="15.95" customHeight="1" thickBot="1" x14ac:dyDescent="0.35">
      <c r="A34" s="12"/>
      <c r="B34" s="13" t="s">
        <v>41</v>
      </c>
      <c r="C34" s="14">
        <f xml:space="preserve"> C30 * 1/6</f>
        <v>5.3333333333333337E-2</v>
      </c>
    </row>
    <row r="35" spans="1:3" ht="15.95" customHeight="1" x14ac:dyDescent="0.3"/>
    <row r="36" spans="1:3" ht="15.95" customHeight="1" x14ac:dyDescent="0.3"/>
  </sheetData>
  <mergeCells count="7">
    <mergeCell ref="A12:A15"/>
    <mergeCell ref="A16:A18"/>
    <mergeCell ref="A19:A28"/>
    <mergeCell ref="A29:A34"/>
    <mergeCell ref="A2:A5"/>
    <mergeCell ref="A6:A9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23</vt:i4>
      </vt:variant>
    </vt:vector>
  </HeadingPairs>
  <TitlesOfParts>
    <vt:vector size="24" baseType="lpstr">
      <vt:lpstr>מפתח</vt:lpstr>
      <vt:lpstr>Appetizer</vt:lpstr>
      <vt:lpstr>Bamba_cooked</vt:lpstr>
      <vt:lpstr>Beer_cooked</vt:lpstr>
      <vt:lpstr>Bissli_cooked</vt:lpstr>
      <vt:lpstr>Cake</vt:lpstr>
      <vt:lpstr>Carrot_cooked</vt:lpstr>
      <vt:lpstr>Chips_cooked</vt:lpstr>
      <vt:lpstr>ChocoBalls</vt:lpstr>
      <vt:lpstr>Coke_cooked</vt:lpstr>
      <vt:lpstr>Cucumber_cooked</vt:lpstr>
      <vt:lpstr>Dessert</vt:lpstr>
      <vt:lpstr>Focaccia</vt:lpstr>
      <vt:lpstr>Juice_Orange_cooked</vt:lpstr>
      <vt:lpstr>Juice_Other_cooked</vt:lpstr>
      <vt:lpstr>Main</vt:lpstr>
      <vt:lpstr>MiniPizza</vt:lpstr>
      <vt:lpstr>Pepper_cooked</vt:lpstr>
      <vt:lpstr>Quiche</vt:lpstr>
      <vt:lpstr>Salad</vt:lpstr>
      <vt:lpstr>Salad_meal</vt:lpstr>
      <vt:lpstr>Sprite_cooked</vt:lpstr>
      <vt:lpstr>Tomato_cooked</vt:lpstr>
      <vt:lpstr>Wine_cooked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Cfir Amar</dc:creator>
  <cp:lastModifiedBy>Cfir Amar</cp:lastModifiedBy>
  <dcterms:created xsi:type="dcterms:W3CDTF">2026-10-18T11:43:37Z</dcterms:created>
  <dcterms:modified xsi:type="dcterms:W3CDTF">2026-10-18T11:44:12Z</dcterms:modified>
</cp:coreProperties>
</file>